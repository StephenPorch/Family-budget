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Сводка" sheetId="1" state="visible" r:id="rId2"/>
    <sheet name="2_Операции" sheetId="2" state="visible" r:id="rId3"/>
    <sheet name="3_План_и_Прогноз" sheetId="3" state="visible" r:id="rId4"/>
    <sheet name="4_Постоянные_счета" sheetId="4" state="visible" r:id="rId5"/>
    <sheet name="5_Копилки_и_Долги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<sst xmlns="http://schemas.openxmlformats.org/spreadsheetml/2006/main" count="335" uniqueCount="183">
  <si>
    <t xml:space="preserve">Показатель</t>
  </si>
  <si>
    <t xml:space="preserve">Значение (₽)</t>
  </si>
  <si>
    <t xml:space="preserve">Доходы мес. (₽)</t>
  </si>
  <si>
    <t xml:space="preserve">Расходы мес. (₽)</t>
  </si>
  <si>
    <t xml:space="preserve">Комментарий / Статус</t>
  </si>
  <si>
    <t xml:space="preserve">Общий котел (кумулятивный остаток)</t>
  </si>
  <si>
    <t xml:space="preserve">Переходящий остаток с учетом августа и сентября</t>
  </si>
  <si>
    <t xml:space="preserve">Личный счет: Муж</t>
  </si>
  <si>
    <t xml:space="preserve">Свободный личный остаток мужа</t>
  </si>
  <si>
    <t xml:space="preserve">Личный счет: Жена</t>
  </si>
  <si>
    <t xml:space="preserve">Свободный личный остаток жены</t>
  </si>
  <si>
    <t xml:space="preserve">Потребительские расходы (Общий котел, Окт)</t>
  </si>
  <si>
    <t xml:space="preserve">Без учета переводов в копилки и погашения кредитов</t>
  </si>
  <si>
    <t xml:space="preserve">Отложено в копилки и погашено кредитов (Окт)</t>
  </si>
  <si>
    <t xml:space="preserve">Копилка Отпуск (15 000 ₽) + Автокредит (20 000 ₽)</t>
  </si>
  <si>
    <t xml:space="preserve">Резерв на неоплаченные обязательные счета (Окт)</t>
  </si>
  <si>
    <t xml:space="preserve">Связь, интернет, детский сад и рассрочка</t>
  </si>
  <si>
    <t xml:space="preserve">Планируемые расходы месяца (по прошлым мес.)</t>
  </si>
  <si>
    <t xml:space="preserve">Прогноз на основе средних трат августа–сентября + счетов</t>
  </si>
  <si>
    <t xml:space="preserve">Всего накоплено в семейных копилках</t>
  </si>
  <si>
    <t xml:space="preserve">3 активные копилки (из 770 000 ₽ цели)</t>
  </si>
  <si>
    <t xml:space="preserve">Остаток по кредитам и рассрочкам</t>
  </si>
  <si>
    <t xml:space="preserve">Автокредит + Рассрочка на технику</t>
  </si>
  <si>
    <t xml:space="preserve">ID</t>
  </si>
  <si>
    <t xml:space="preserve">Дата</t>
  </si>
  <si>
    <t xml:space="preserve">Месяц</t>
  </si>
  <si>
    <t xml:space="preserve">Тип</t>
  </si>
  <si>
    <t xml:space="preserve">Категория</t>
  </si>
  <si>
    <t xml:space="preserve">Название / Комментарий</t>
  </si>
  <si>
    <t xml:space="preserve">Сумма (₽)</t>
  </si>
  <si>
    <t xml:space="preserve">Счет</t>
  </si>
  <si>
    <t xml:space="preserve">Автор</t>
  </si>
  <si>
    <t xml:space="preserve">ID_Копилки</t>
  </si>
  <si>
    <t xml:space="preserve">ID_Долга</t>
  </si>
  <si>
    <t xml:space="preserve">ID_Регулярного</t>
  </si>
  <si>
    <t xml:space="preserve">1</t>
  </si>
  <si>
    <t xml:space="preserve">2026-10-23</t>
  </si>
  <si>
    <t xml:space="preserve">2026-10</t>
  </si>
  <si>
    <t xml:space="preserve">Расход</t>
  </si>
  <si>
    <t xml:space="preserve">Продукты</t>
  </si>
  <si>
    <t xml:space="preserve">Супермаркет (ВкусВилл)</t>
  </si>
  <si>
    <t xml:space="preserve">Общий котел</t>
  </si>
  <si>
    <t xml:space="preserve">Муж</t>
  </si>
  <si>
    <t xml:space="preserve">2</t>
  </si>
  <si>
    <t xml:space="preserve">Кафе и еда вне дома</t>
  </si>
  <si>
    <t xml:space="preserve">Кофейня и выпечка</t>
  </si>
  <si>
    <t xml:space="preserve">Жена</t>
  </si>
  <si>
    <t xml:space="preserve">7</t>
  </si>
  <si>
    <t xml:space="preserve">2026-10-22</t>
  </si>
  <si>
    <t xml:space="preserve">Развлечения и кино</t>
  </si>
  <si>
    <t xml:space="preserve">Игры в Steam и гаджеты</t>
  </si>
  <si>
    <t xml:space="preserve">Личный</t>
  </si>
  <si>
    <t xml:space="preserve">9</t>
  </si>
  <si>
    <t xml:space="preserve">2026-10-21</t>
  </si>
  <si>
    <t xml:space="preserve">Шопинг и вещи</t>
  </si>
  <si>
    <t xml:space="preserve">Косметика и уход</t>
  </si>
  <si>
    <t xml:space="preserve">3</t>
  </si>
  <si>
    <t xml:space="preserve">2026-10-20</t>
  </si>
  <si>
    <t xml:space="preserve">Доход</t>
  </si>
  <si>
    <t xml:space="preserve">Зарплата</t>
  </si>
  <si>
    <t xml:space="preserve">Аванс по проекту (в общий бюджет)</t>
  </si>
  <si>
    <t xml:space="preserve">6</t>
  </si>
  <si>
    <t xml:space="preserve">2026-10-19</t>
  </si>
  <si>
    <t xml:space="preserve">Подработка</t>
  </si>
  <si>
    <t xml:space="preserve">Фриланс (на личную карту)</t>
  </si>
  <si>
    <t xml:space="preserve">4</t>
  </si>
  <si>
    <t xml:space="preserve">2026-10-18</t>
  </si>
  <si>
    <t xml:space="preserve">Дом и ЖКУ</t>
  </si>
  <si>
    <t xml:space="preserve">Оплата ЖКУ и капремонт</t>
  </si>
  <si>
    <t xml:space="preserve">rec_2</t>
  </si>
  <si>
    <t xml:space="preserve">8</t>
  </si>
  <si>
    <t xml:space="preserve">2026-10-17</t>
  </si>
  <si>
    <t xml:space="preserve">Другое</t>
  </si>
  <si>
    <t xml:space="preserve">Премия и кешбэк (личный счет)</t>
  </si>
  <si>
    <t xml:space="preserve">5</t>
  </si>
  <si>
    <t xml:space="preserve">2026-10-15</t>
  </si>
  <si>
    <t xml:space="preserve">Накопления</t>
  </si>
  <si>
    <t xml:space="preserve">В копилку: Отпуск в горах</t>
  </si>
  <si>
    <t xml:space="preserve">g1</t>
  </si>
  <si>
    <t xml:space="preserve">10</t>
  </si>
  <si>
    <t xml:space="preserve">2026-10-12</t>
  </si>
  <si>
    <t xml:space="preserve">Долги и кредиты</t>
  </si>
  <si>
    <t xml:space="preserve">Платёж по автокредиту</t>
  </si>
  <si>
    <t xml:space="preserve">debt_1</t>
  </si>
  <si>
    <t xml:space="preserve">sep9</t>
  </si>
  <si>
    <t xml:space="preserve">2026-09-26</t>
  </si>
  <si>
    <t xml:space="preserve">2026-09</t>
  </si>
  <si>
    <t xml:space="preserve">Транспорт и авто</t>
  </si>
  <si>
    <t xml:space="preserve">Заправка и парковка</t>
  </si>
  <si>
    <t xml:space="preserve">sep5</t>
  </si>
  <si>
    <t xml:space="preserve">2026-09-25</t>
  </si>
  <si>
    <t xml:space="preserve">sep8</t>
  </si>
  <si>
    <t xml:space="preserve">2026-09-22</t>
  </si>
  <si>
    <t xml:space="preserve">Премия жены</t>
  </si>
  <si>
    <t xml:space="preserve">sep4</t>
  </si>
  <si>
    <t xml:space="preserve">2026-09-21</t>
  </si>
  <si>
    <t xml:space="preserve">Кофейни и рестораны</t>
  </si>
  <si>
    <t xml:space="preserve">sep7</t>
  </si>
  <si>
    <t xml:space="preserve">2026-09-20</t>
  </si>
  <si>
    <t xml:space="preserve">Фриланс мужа</t>
  </si>
  <si>
    <t xml:space="preserve">sep3</t>
  </si>
  <si>
    <t xml:space="preserve">2026-09-18</t>
  </si>
  <si>
    <t xml:space="preserve">ЖКУ и интернет</t>
  </si>
  <si>
    <t xml:space="preserve">sep2</t>
  </si>
  <si>
    <t xml:space="preserve">2026-09-14</t>
  </si>
  <si>
    <t xml:space="preserve">sep6</t>
  </si>
  <si>
    <t xml:space="preserve">2026-09-12</t>
  </si>
  <si>
    <t xml:space="preserve">sep1</t>
  </si>
  <si>
    <t xml:space="preserve">2026-09-10</t>
  </si>
  <si>
    <t xml:space="preserve">Зарплата (сентябрь)</t>
  </si>
  <si>
    <t xml:space="preserve">aug5</t>
  </si>
  <si>
    <t xml:space="preserve">2026-08-24</t>
  </si>
  <si>
    <t xml:space="preserve">2026-08</t>
  </si>
  <si>
    <t xml:space="preserve">Бензин и ТО</t>
  </si>
  <si>
    <t xml:space="preserve">aug4</t>
  </si>
  <si>
    <t xml:space="preserve">2026-08-22</t>
  </si>
  <si>
    <t xml:space="preserve">Кафе и ужины</t>
  </si>
  <si>
    <t xml:space="preserve">aug3</t>
  </si>
  <si>
    <t xml:space="preserve">2026-08-18</t>
  </si>
  <si>
    <t xml:space="preserve">ЖКУ, свет и вода</t>
  </si>
  <si>
    <t xml:space="preserve">aug2</t>
  </si>
  <si>
    <t xml:space="preserve">2026-08-15</t>
  </si>
  <si>
    <t xml:space="preserve">Супермаркеты и фермерская лавка</t>
  </si>
  <si>
    <t xml:space="preserve">aug1</t>
  </si>
  <si>
    <t xml:space="preserve">2026-08-10</t>
  </si>
  <si>
    <t xml:space="preserve">Зарплата (август)</t>
  </si>
  <si>
    <t xml:space="preserve">ИТОГО</t>
  </si>
  <si>
    <t xml:space="preserve">Баланс Общего котла</t>
  </si>
  <si>
    <t xml:space="preserve">Корзина 50/30/20</t>
  </si>
  <si>
    <t xml:space="preserve">Прошлый мес. (₽)</t>
  </si>
  <si>
    <t xml:space="preserve">Среднее за прошл. мес. (₽)</t>
  </si>
  <si>
    <t xml:space="preserve">Постоянные счета (₽)</t>
  </si>
  <si>
    <t xml:space="preserve">Авто-прогноз (₽)</t>
  </si>
  <si>
    <t xml:space="preserve">План на месяц (₽)</t>
  </si>
  <si>
    <t xml:space="preserve">Факт октября (₽)</t>
  </si>
  <si>
    <t xml:space="preserve">Остаток плана (₽)</t>
  </si>
  <si>
    <t xml:space="preserve">Статус</t>
  </si>
  <si>
    <t xml:space="preserve">База (50%)</t>
  </si>
  <si>
    <t xml:space="preserve">Дети и секции</t>
  </si>
  <si>
    <t xml:space="preserve">Хотелки (30%)</t>
  </si>
  <si>
    <t xml:space="preserve">Связь и интернет</t>
  </si>
  <si>
    <t xml:space="preserve">ИТОГО ПЛАН / ФАКТ</t>
  </si>
  <si>
    <t xml:space="preserve">Название постоянного расхода</t>
  </si>
  <si>
    <t xml:space="preserve">Плановая сумма (₽)</t>
  </si>
  <si>
    <t xml:space="preserve">День оплаты</t>
  </si>
  <si>
    <t xml:space="preserve">Ответственный</t>
  </si>
  <si>
    <t xml:space="preserve">Обязательный</t>
  </si>
  <si>
    <t xml:space="preserve">Статус в октябре 2026</t>
  </si>
  <si>
    <t xml:space="preserve">rec_1</t>
  </si>
  <si>
    <t xml:space="preserve">Аренда / Ипотека</t>
  </si>
  <si>
    <t xml:space="preserve">Да</t>
  </si>
  <si>
    <t xml:space="preserve">Оплачено</t>
  </si>
  <si>
    <t xml:space="preserve">ЖКУ и капремонт</t>
  </si>
  <si>
    <t xml:space="preserve">rec_3</t>
  </si>
  <si>
    <t xml:space="preserve">Домашний интернет и ТВ</t>
  </si>
  <si>
    <t xml:space="preserve">Ожидает оплаты</t>
  </si>
  <si>
    <t xml:space="preserve">rec_5</t>
  </si>
  <si>
    <t xml:space="preserve">Мобильная связь (2 номера)</t>
  </si>
  <si>
    <t xml:space="preserve">rec_4</t>
  </si>
  <si>
    <t xml:space="preserve">Детский сад / Секции</t>
  </si>
  <si>
    <t xml:space="preserve">ИТОГО ПОСТОЯННЫХ СЧЕТОВ В МЕСЯЦ</t>
  </si>
  <si>
    <t xml:space="preserve">ОСТАЛОСЬ ОПЛАТИТЬ В ОКТЯБРЕ (РЕЗЕРВ)</t>
  </si>
  <si>
    <t xml:space="preserve">Включая рассрочку 15 000 ₽</t>
  </si>
  <si>
    <t xml:space="preserve">Название</t>
  </si>
  <si>
    <t xml:space="preserve">Текущее / Остаток (₽)</t>
  </si>
  <si>
    <t xml:space="preserve">Цель / Начальная сумма (₽)</t>
  </si>
  <si>
    <t xml:space="preserve">Ежемесячный платеж (₽)</t>
  </si>
  <si>
    <t xml:space="preserve">День платежа</t>
  </si>
  <si>
    <t xml:space="preserve">Прогресс (%)</t>
  </si>
  <si>
    <t xml:space="preserve">Копилка</t>
  </si>
  <si>
    <t xml:space="preserve">Отпуск в горах</t>
  </si>
  <si>
    <t xml:space="preserve">g2</t>
  </si>
  <si>
    <t xml:space="preserve">Подушка безопасности</t>
  </si>
  <si>
    <t xml:space="preserve">g3</t>
  </si>
  <si>
    <t xml:space="preserve">Апгрейд рабочего места</t>
  </si>
  <si>
    <t xml:space="preserve">ИТОГО КОПИЛКИ</t>
  </si>
  <si>
    <t xml:space="preserve">Всего накоплено</t>
  </si>
  <si>
    <t xml:space="preserve">Кредит/Долг</t>
  </si>
  <si>
    <t xml:space="preserve">Автокредит</t>
  </si>
  <si>
    <t xml:space="preserve">debt_2</t>
  </si>
  <si>
    <t xml:space="preserve">Рассрочка на технику</t>
  </si>
  <si>
    <t xml:space="preserve">ИТОГО ДОЛГИ</t>
  </si>
  <si>
    <t xml:space="preserve">Всего остаток долгов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</si>
</sst>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₽&quot;"/>
    <numFmt numFmtId="166" formatCode="0.0%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1C1917"/>
      <name val="Calibri"/>
      <family val="0"/>
      <charset val="1"/>
    </font>
    <font>
      <sz val="11"/>
      <color rgb="FF1C1917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1917"/>
        <bgColor rgb="FF333333"/>
      </patternFill>
    </fill>
    <fill>
      <patternFill patternType="solid">
        <fgColor rgb="FFFAFAF9"/>
        <bgColor rgb="FFF5F5F4"/>
      </patternFill>
    </fill>
    <fill>
      <patternFill patternType="solid">
        <fgColor rgb="FFF5F5F4"/>
        <bgColor rgb="FFFAFAF9"/>
      </patternFill>
    </fill>
    <fill>
      <patternFill patternType="solid">
        <fgColor rgb="FFDCFCE7"/>
        <bgColor rgb="FFF5F5F4"/>
      </patternFill>
    </fill>
    <fill>
      <patternFill patternType="solid">
        <fgColor rgb="FFFEF3C7"/>
        <bgColor rgb="FFF5F5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7E5E4"/>
      </left>
      <right style="thin">
        <color rgb="FFE7E5E4"/>
      </right>
      <top style="thin">
        <color rgb="FFE7E5E4"/>
      </top>
      <bottom style="thin">
        <color rgb="FFE7E5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E7E5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4"/>
      <rgbColor rgb="FFFAFAF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C19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19"/>
    <col collapsed="false" customWidth="true" hidden="false" outlineLevel="0" max="4" min="4" style="0" width="20"/>
    <col collapsed="false" customWidth="true" hidden="false" outlineLevel="0" max="5" min="5" style="0" width="3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f aca="false">2_Операции!G26</f>
        <v>201200</v>
      </c>
      <c r="C2" s="4" t="n">
        <v>120000</v>
      </c>
      <c r="D2" s="4" t="n">
        <v>69100</v>
      </c>
      <c r="E2" s="5" t="s">
        <v>6</v>
      </c>
    </row>
    <row r="3" customFormat="false" ht="15" hidden="false" customHeight="false" outlineLevel="0" collapsed="false">
      <c r="A3" s="2" t="s">
        <v>7</v>
      </c>
      <c r="B3" s="3" t="n">
        <v>49800</v>
      </c>
      <c r="C3" s="4" t="n">
        <v>28000</v>
      </c>
      <c r="D3" s="4" t="n">
        <v>3200</v>
      </c>
      <c r="E3" s="5" t="s">
        <v>8</v>
      </c>
    </row>
    <row r="4" customFormat="false" ht="15" hidden="false" customHeight="false" outlineLevel="0" collapsed="false">
      <c r="A4" s="2" t="s">
        <v>9</v>
      </c>
      <c r="B4" s="3" t="n">
        <v>49900</v>
      </c>
      <c r="C4" s="4" t="n">
        <v>24000</v>
      </c>
      <c r="D4" s="4" t="n">
        <v>4100</v>
      </c>
      <c r="E4" s="5" t="s">
        <v>10</v>
      </c>
    </row>
    <row r="5" customFormat="false" ht="15" hidden="false" customHeight="false" outlineLevel="0" collapsed="false">
      <c r="A5" s="2" t="s">
        <v>11</v>
      </c>
      <c r="B5" s="3" t="n">
        <v>34100</v>
      </c>
      <c r="C5" s="4" t="n">
        <v>0</v>
      </c>
      <c r="D5" s="4" t="n">
        <v>34100</v>
      </c>
      <c r="E5" s="5" t="s">
        <v>12</v>
      </c>
    </row>
    <row r="6" customFormat="false" ht="15" hidden="false" customHeight="false" outlineLevel="0" collapsed="false">
      <c r="A6" s="2" t="s">
        <v>13</v>
      </c>
      <c r="B6" s="3" t="n">
        <v>35000</v>
      </c>
      <c r="C6" s="4" t="n">
        <v>0</v>
      </c>
      <c r="D6" s="4" t="n">
        <v>35000</v>
      </c>
      <c r="E6" s="5" t="s">
        <v>14</v>
      </c>
    </row>
    <row r="7" customFormat="false" ht="15" hidden="false" customHeight="false" outlineLevel="0" collapsed="false">
      <c r="A7" s="2" t="s">
        <v>15</v>
      </c>
      <c r="B7" s="3" t="n">
        <f aca="false">4_Постоянные_счета!C8</f>
        <v>29350</v>
      </c>
      <c r="C7" s="4" t="n">
        <v>0</v>
      </c>
      <c r="D7" s="4" t="n">
        <v>0</v>
      </c>
      <c r="E7" s="5" t="s">
        <v>16</v>
      </c>
    </row>
    <row r="8" customFormat="false" ht="15" hidden="false" customHeight="false" outlineLevel="0" collapsed="false">
      <c r="A8" s="2" t="s">
        <v>17</v>
      </c>
      <c r="B8" s="3" t="n">
        <f aca="false">3_План_и_Прогноз!G10</f>
        <v>104550</v>
      </c>
      <c r="C8" s="4" t="n">
        <v>0</v>
      </c>
      <c r="D8" s="4" t="n">
        <v>0</v>
      </c>
      <c r="E8" s="5" t="s">
        <v>18</v>
      </c>
    </row>
    <row r="9" customFormat="false" ht="15" hidden="false" customHeight="false" outlineLevel="0" collapsed="false">
      <c r="A9" s="2" t="s">
        <v>19</v>
      </c>
      <c r="B9" s="3" t="n">
        <f aca="false">5_Копилки_и_Долги!D5</f>
        <v>460000</v>
      </c>
      <c r="C9" s="4" t="n">
        <v>0</v>
      </c>
      <c r="D9" s="4" t="n">
        <v>0</v>
      </c>
      <c r="E9" s="5" t="s">
        <v>20</v>
      </c>
    </row>
    <row r="10" customFormat="false" ht="15" hidden="false" customHeight="false" outlineLevel="0" collapsed="false">
      <c r="A10" s="2" t="s">
        <v>21</v>
      </c>
      <c r="B10" s="3" t="n">
        <f aca="false">5_Копилки_и_Долги!D9</f>
        <v>0</v>
      </c>
      <c r="C10" s="4" t="n">
        <v>0</v>
      </c>
      <c r="D10" s="4" t="n">
        <v>0</v>
      </c>
      <c r="E10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23"/>
    <col collapsed="false" customWidth="true" hidden="false" outlineLevel="0" max="6" min="6" style="0" width="37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11" min="9" style="0" width="14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customFormat="false" ht="15" hidden="false" customHeight="false" outlineLevel="0" collapsed="false">
      <c r="A2" s="6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6" t="s">
        <v>40</v>
      </c>
      <c r="G2" s="7" t="n">
        <v>25700</v>
      </c>
      <c r="H2" s="6" t="s">
        <v>41</v>
      </c>
      <c r="I2" s="6" t="s">
        <v>42</v>
      </c>
      <c r="J2" s="6"/>
      <c r="K2" s="6"/>
      <c r="L2" s="6"/>
    </row>
    <row r="3" customFormat="false" ht="15" hidden="false" customHeight="false" outlineLevel="0" collapsed="false">
      <c r="A3" s="5" t="s">
        <v>43</v>
      </c>
      <c r="B3" s="5" t="s">
        <v>36</v>
      </c>
      <c r="C3" s="5" t="s">
        <v>37</v>
      </c>
      <c r="D3" s="5" t="s">
        <v>38</v>
      </c>
      <c r="E3" s="5" t="s">
        <v>44</v>
      </c>
      <c r="F3" s="5" t="s">
        <v>45</v>
      </c>
      <c r="G3" s="4" t="n">
        <v>2200</v>
      </c>
      <c r="H3" s="5" t="s">
        <v>41</v>
      </c>
      <c r="I3" s="5" t="s">
        <v>46</v>
      </c>
      <c r="J3" s="5"/>
      <c r="K3" s="5"/>
      <c r="L3" s="5"/>
    </row>
    <row r="4" customFormat="false" ht="15" hidden="false" customHeight="false" outlineLevel="0" collapsed="false">
      <c r="A4" s="6" t="s">
        <v>47</v>
      </c>
      <c r="B4" s="6" t="s">
        <v>48</v>
      </c>
      <c r="C4" s="6" t="s">
        <v>37</v>
      </c>
      <c r="D4" s="6" t="s">
        <v>38</v>
      </c>
      <c r="E4" s="6" t="s">
        <v>49</v>
      </c>
      <c r="F4" s="6" t="s">
        <v>50</v>
      </c>
      <c r="G4" s="7" t="n">
        <v>3200</v>
      </c>
      <c r="H4" s="6" t="s">
        <v>51</v>
      </c>
      <c r="I4" s="6" t="s">
        <v>42</v>
      </c>
      <c r="J4" s="6"/>
      <c r="K4" s="6"/>
      <c r="L4" s="6"/>
    </row>
    <row r="5" customFormat="false" ht="15" hidden="false" customHeight="false" outlineLevel="0" collapsed="false">
      <c r="A5" s="5" t="s">
        <v>52</v>
      </c>
      <c r="B5" s="5" t="s">
        <v>53</v>
      </c>
      <c r="C5" s="5" t="s">
        <v>37</v>
      </c>
      <c r="D5" s="5" t="s">
        <v>38</v>
      </c>
      <c r="E5" s="5" t="s">
        <v>54</v>
      </c>
      <c r="F5" s="5" t="s">
        <v>55</v>
      </c>
      <c r="G5" s="4" t="n">
        <v>4100</v>
      </c>
      <c r="H5" s="5" t="s">
        <v>51</v>
      </c>
      <c r="I5" s="5" t="s">
        <v>46</v>
      </c>
      <c r="J5" s="5"/>
      <c r="K5" s="5"/>
      <c r="L5" s="5"/>
    </row>
    <row r="6" customFormat="false" ht="15" hidden="false" customHeight="false" outlineLevel="0" collapsed="false">
      <c r="A6" s="6" t="s">
        <v>56</v>
      </c>
      <c r="B6" s="6" t="s">
        <v>57</v>
      </c>
      <c r="C6" s="6" t="s">
        <v>37</v>
      </c>
      <c r="D6" s="6" t="s">
        <v>58</v>
      </c>
      <c r="E6" s="6" t="s">
        <v>59</v>
      </c>
      <c r="F6" s="6" t="s">
        <v>60</v>
      </c>
      <c r="G6" s="7" t="n">
        <v>120000</v>
      </c>
      <c r="H6" s="6" t="s">
        <v>41</v>
      </c>
      <c r="I6" s="6" t="s">
        <v>42</v>
      </c>
      <c r="J6" s="6"/>
      <c r="K6" s="6"/>
      <c r="L6" s="6"/>
    </row>
    <row r="7" customFormat="false" ht="15" hidden="false" customHeight="false" outlineLevel="0" collapsed="false">
      <c r="A7" s="5" t="s">
        <v>61</v>
      </c>
      <c r="B7" s="5" t="s">
        <v>62</v>
      </c>
      <c r="C7" s="5" t="s">
        <v>37</v>
      </c>
      <c r="D7" s="5" t="s">
        <v>58</v>
      </c>
      <c r="E7" s="5" t="s">
        <v>63</v>
      </c>
      <c r="F7" s="5" t="s">
        <v>64</v>
      </c>
      <c r="G7" s="4" t="n">
        <v>28000</v>
      </c>
      <c r="H7" s="5" t="s">
        <v>51</v>
      </c>
      <c r="I7" s="5" t="s">
        <v>42</v>
      </c>
      <c r="J7" s="5"/>
      <c r="K7" s="5"/>
      <c r="L7" s="5"/>
    </row>
    <row r="8" customFormat="false" ht="15" hidden="false" customHeight="false" outlineLevel="0" collapsed="false">
      <c r="A8" s="6" t="s">
        <v>65</v>
      </c>
      <c r="B8" s="6" t="s">
        <v>66</v>
      </c>
      <c r="C8" s="6" t="s">
        <v>37</v>
      </c>
      <c r="D8" s="6" t="s">
        <v>38</v>
      </c>
      <c r="E8" s="6" t="s">
        <v>67</v>
      </c>
      <c r="F8" s="6" t="s">
        <v>68</v>
      </c>
      <c r="G8" s="7" t="n">
        <v>6200</v>
      </c>
      <c r="H8" s="6" t="s">
        <v>41</v>
      </c>
      <c r="I8" s="6" t="s">
        <v>46</v>
      </c>
      <c r="J8" s="6"/>
      <c r="K8" s="6"/>
      <c r="L8" s="6" t="s">
        <v>69</v>
      </c>
    </row>
    <row r="9" customFormat="false" ht="15" hidden="false" customHeight="false" outlineLevel="0" collapsed="false">
      <c r="A9" s="5" t="s">
        <v>70</v>
      </c>
      <c r="B9" s="5" t="s">
        <v>71</v>
      </c>
      <c r="C9" s="5" t="s">
        <v>37</v>
      </c>
      <c r="D9" s="5" t="s">
        <v>58</v>
      </c>
      <c r="E9" s="5" t="s">
        <v>72</v>
      </c>
      <c r="F9" s="5" t="s">
        <v>73</v>
      </c>
      <c r="G9" s="4" t="n">
        <v>24000</v>
      </c>
      <c r="H9" s="5" t="s">
        <v>51</v>
      </c>
      <c r="I9" s="5" t="s">
        <v>46</v>
      </c>
      <c r="J9" s="5"/>
      <c r="K9" s="5"/>
      <c r="L9" s="5"/>
    </row>
    <row r="10" customFormat="false" ht="15" hidden="false" customHeight="false" outlineLevel="0" collapsed="false">
      <c r="A10" s="6" t="s">
        <v>74</v>
      </c>
      <c r="B10" s="6" t="s">
        <v>75</v>
      </c>
      <c r="C10" s="6" t="s">
        <v>37</v>
      </c>
      <c r="D10" s="6" t="s">
        <v>38</v>
      </c>
      <c r="E10" s="6" t="s">
        <v>76</v>
      </c>
      <c r="F10" s="6" t="s">
        <v>77</v>
      </c>
      <c r="G10" s="7" t="n">
        <v>15000</v>
      </c>
      <c r="H10" s="6" t="s">
        <v>41</v>
      </c>
      <c r="I10" s="6" t="s">
        <v>42</v>
      </c>
      <c r="J10" s="6" t="s">
        <v>78</v>
      </c>
      <c r="K10" s="6"/>
      <c r="L10" s="6"/>
    </row>
    <row r="11" customFormat="false" ht="15" hidden="false" customHeight="false" outlineLevel="0" collapsed="false">
      <c r="A11" s="5" t="s">
        <v>79</v>
      </c>
      <c r="B11" s="5" t="s">
        <v>80</v>
      </c>
      <c r="C11" s="5" t="s">
        <v>37</v>
      </c>
      <c r="D11" s="5" t="s">
        <v>38</v>
      </c>
      <c r="E11" s="5" t="s">
        <v>81</v>
      </c>
      <c r="F11" s="5" t="s">
        <v>82</v>
      </c>
      <c r="G11" s="4" t="n">
        <v>20000</v>
      </c>
      <c r="H11" s="5" t="s">
        <v>41</v>
      </c>
      <c r="I11" s="5" t="s">
        <v>42</v>
      </c>
      <c r="J11" s="5"/>
      <c r="K11" s="5" t="s">
        <v>83</v>
      </c>
      <c r="L11" s="5"/>
    </row>
    <row r="12" customFormat="false" ht="15" hidden="false" customHeight="false" outlineLevel="0" collapsed="false">
      <c r="A12" s="6" t="s">
        <v>84</v>
      </c>
      <c r="B12" s="6" t="s">
        <v>85</v>
      </c>
      <c r="C12" s="6" t="s">
        <v>86</v>
      </c>
      <c r="D12" s="6" t="s">
        <v>38</v>
      </c>
      <c r="E12" s="6" t="s">
        <v>87</v>
      </c>
      <c r="F12" s="6" t="s">
        <v>88</v>
      </c>
      <c r="G12" s="7" t="n">
        <v>5200</v>
      </c>
      <c r="H12" s="6" t="s">
        <v>41</v>
      </c>
      <c r="I12" s="6" t="s">
        <v>42</v>
      </c>
      <c r="J12" s="6"/>
      <c r="K12" s="6"/>
      <c r="L12" s="6"/>
    </row>
    <row r="13" customFormat="false" ht="15" hidden="false" customHeight="false" outlineLevel="0" collapsed="false">
      <c r="A13" s="5" t="s">
        <v>89</v>
      </c>
      <c r="B13" s="5" t="s">
        <v>90</v>
      </c>
      <c r="C13" s="5" t="s">
        <v>86</v>
      </c>
      <c r="D13" s="5" t="s">
        <v>38</v>
      </c>
      <c r="E13" s="5" t="s">
        <v>76</v>
      </c>
      <c r="F13" s="5" t="s">
        <v>77</v>
      </c>
      <c r="G13" s="4" t="n">
        <v>20000</v>
      </c>
      <c r="H13" s="5" t="s">
        <v>41</v>
      </c>
      <c r="I13" s="5" t="s">
        <v>42</v>
      </c>
      <c r="J13" s="5" t="s">
        <v>78</v>
      </c>
      <c r="K13" s="5"/>
      <c r="L13" s="5"/>
    </row>
    <row r="14" customFormat="false" ht="15" hidden="false" customHeight="false" outlineLevel="0" collapsed="false">
      <c r="A14" s="6" t="s">
        <v>91</v>
      </c>
      <c r="B14" s="6" t="s">
        <v>92</v>
      </c>
      <c r="C14" s="6" t="s">
        <v>86</v>
      </c>
      <c r="D14" s="6" t="s">
        <v>58</v>
      </c>
      <c r="E14" s="6" t="s">
        <v>72</v>
      </c>
      <c r="F14" s="6" t="s">
        <v>93</v>
      </c>
      <c r="G14" s="7" t="n">
        <v>30000</v>
      </c>
      <c r="H14" s="6" t="s">
        <v>51</v>
      </c>
      <c r="I14" s="6" t="s">
        <v>46</v>
      </c>
      <c r="J14" s="6"/>
      <c r="K14" s="6"/>
      <c r="L14" s="6"/>
    </row>
    <row r="15" customFormat="false" ht="15" hidden="false" customHeight="false" outlineLevel="0" collapsed="false">
      <c r="A15" s="5" t="s">
        <v>94</v>
      </c>
      <c r="B15" s="5" t="s">
        <v>95</v>
      </c>
      <c r="C15" s="5" t="s">
        <v>86</v>
      </c>
      <c r="D15" s="5" t="s">
        <v>38</v>
      </c>
      <c r="E15" s="5" t="s">
        <v>44</v>
      </c>
      <c r="F15" s="5" t="s">
        <v>96</v>
      </c>
      <c r="G15" s="4" t="n">
        <v>3800</v>
      </c>
      <c r="H15" s="5" t="s">
        <v>41</v>
      </c>
      <c r="I15" s="5" t="s">
        <v>46</v>
      </c>
      <c r="J15" s="5"/>
      <c r="K15" s="5"/>
      <c r="L15" s="5"/>
    </row>
    <row r="16" customFormat="false" ht="15" hidden="false" customHeight="false" outlineLevel="0" collapsed="false">
      <c r="A16" s="6" t="s">
        <v>97</v>
      </c>
      <c r="B16" s="6" t="s">
        <v>98</v>
      </c>
      <c r="C16" s="6" t="s">
        <v>86</v>
      </c>
      <c r="D16" s="6" t="s">
        <v>58</v>
      </c>
      <c r="E16" s="6" t="s">
        <v>63</v>
      </c>
      <c r="F16" s="6" t="s">
        <v>99</v>
      </c>
      <c r="G16" s="7" t="n">
        <v>35000</v>
      </c>
      <c r="H16" s="6" t="s">
        <v>51</v>
      </c>
      <c r="I16" s="6" t="s">
        <v>42</v>
      </c>
      <c r="J16" s="6"/>
      <c r="K16" s="6"/>
      <c r="L16" s="6"/>
    </row>
    <row r="17" customFormat="false" ht="15" hidden="false" customHeight="false" outlineLevel="0" collapsed="false">
      <c r="A17" s="5" t="s">
        <v>100</v>
      </c>
      <c r="B17" s="5" t="s">
        <v>101</v>
      </c>
      <c r="C17" s="5" t="s">
        <v>86</v>
      </c>
      <c r="D17" s="5" t="s">
        <v>38</v>
      </c>
      <c r="E17" s="5" t="s">
        <v>67</v>
      </c>
      <c r="F17" s="5" t="s">
        <v>102</v>
      </c>
      <c r="G17" s="4" t="n">
        <v>5900</v>
      </c>
      <c r="H17" s="5" t="s">
        <v>41</v>
      </c>
      <c r="I17" s="5" t="s">
        <v>46</v>
      </c>
      <c r="J17" s="5"/>
      <c r="K17" s="5"/>
      <c r="L17" s="5"/>
    </row>
    <row r="18" customFormat="false" ht="15" hidden="false" customHeight="false" outlineLevel="0" collapsed="false">
      <c r="A18" s="6" t="s">
        <v>103</v>
      </c>
      <c r="B18" s="6" t="s">
        <v>104</v>
      </c>
      <c r="C18" s="6" t="s">
        <v>86</v>
      </c>
      <c r="D18" s="6" t="s">
        <v>38</v>
      </c>
      <c r="E18" s="6" t="s">
        <v>39</v>
      </c>
      <c r="F18" s="6" t="s">
        <v>40</v>
      </c>
      <c r="G18" s="7" t="n">
        <v>21500</v>
      </c>
      <c r="H18" s="6" t="s">
        <v>41</v>
      </c>
      <c r="I18" s="6" t="s">
        <v>42</v>
      </c>
      <c r="J18" s="6"/>
      <c r="K18" s="6"/>
      <c r="L18" s="6"/>
    </row>
    <row r="19" customFormat="false" ht="15" hidden="false" customHeight="false" outlineLevel="0" collapsed="false">
      <c r="A19" s="5" t="s">
        <v>105</v>
      </c>
      <c r="B19" s="5" t="s">
        <v>106</v>
      </c>
      <c r="C19" s="5" t="s">
        <v>86</v>
      </c>
      <c r="D19" s="5" t="s">
        <v>38</v>
      </c>
      <c r="E19" s="5" t="s">
        <v>81</v>
      </c>
      <c r="F19" s="5" t="s">
        <v>82</v>
      </c>
      <c r="G19" s="4" t="n">
        <v>20000</v>
      </c>
      <c r="H19" s="5" t="s">
        <v>41</v>
      </c>
      <c r="I19" s="5" t="s">
        <v>42</v>
      </c>
      <c r="J19" s="5"/>
      <c r="K19" s="5" t="s">
        <v>83</v>
      </c>
      <c r="L19" s="5"/>
    </row>
    <row r="20" customFormat="false" ht="15" hidden="false" customHeight="false" outlineLevel="0" collapsed="false">
      <c r="A20" s="6" t="s">
        <v>107</v>
      </c>
      <c r="B20" s="6" t="s">
        <v>108</v>
      </c>
      <c r="C20" s="6" t="s">
        <v>86</v>
      </c>
      <c r="D20" s="6" t="s">
        <v>58</v>
      </c>
      <c r="E20" s="6" t="s">
        <v>59</v>
      </c>
      <c r="F20" s="6" t="s">
        <v>109</v>
      </c>
      <c r="G20" s="7" t="n">
        <v>135000</v>
      </c>
      <c r="H20" s="6" t="s">
        <v>41</v>
      </c>
      <c r="I20" s="6" t="s">
        <v>42</v>
      </c>
      <c r="J20" s="6"/>
      <c r="K20" s="6"/>
      <c r="L20" s="6"/>
    </row>
    <row r="21" customFormat="false" ht="15" hidden="false" customHeight="false" outlineLevel="0" collapsed="false">
      <c r="A21" s="5" t="s">
        <v>110</v>
      </c>
      <c r="B21" s="5" t="s">
        <v>111</v>
      </c>
      <c r="C21" s="5" t="s">
        <v>112</v>
      </c>
      <c r="D21" s="5" t="s">
        <v>38</v>
      </c>
      <c r="E21" s="5" t="s">
        <v>87</v>
      </c>
      <c r="F21" s="5" t="s">
        <v>113</v>
      </c>
      <c r="G21" s="4" t="n">
        <v>4800</v>
      </c>
      <c r="H21" s="5" t="s">
        <v>41</v>
      </c>
      <c r="I21" s="5" t="s">
        <v>42</v>
      </c>
      <c r="J21" s="5"/>
      <c r="K21" s="5"/>
      <c r="L21" s="5"/>
    </row>
    <row r="22" customFormat="false" ht="15" hidden="false" customHeight="false" outlineLevel="0" collapsed="false">
      <c r="A22" s="6" t="s">
        <v>114</v>
      </c>
      <c r="B22" s="6" t="s">
        <v>115</v>
      </c>
      <c r="C22" s="6" t="s">
        <v>112</v>
      </c>
      <c r="D22" s="6" t="s">
        <v>38</v>
      </c>
      <c r="E22" s="6" t="s">
        <v>44</v>
      </c>
      <c r="F22" s="6" t="s">
        <v>116</v>
      </c>
      <c r="G22" s="7" t="n">
        <v>4200</v>
      </c>
      <c r="H22" s="6" t="s">
        <v>41</v>
      </c>
      <c r="I22" s="6" t="s">
        <v>46</v>
      </c>
      <c r="J22" s="6"/>
      <c r="K22" s="6"/>
      <c r="L22" s="6"/>
    </row>
    <row r="23" customFormat="false" ht="15" hidden="false" customHeight="false" outlineLevel="0" collapsed="false">
      <c r="A23" s="5" t="s">
        <v>117</v>
      </c>
      <c r="B23" s="5" t="s">
        <v>118</v>
      </c>
      <c r="C23" s="5" t="s">
        <v>112</v>
      </c>
      <c r="D23" s="5" t="s">
        <v>38</v>
      </c>
      <c r="E23" s="5" t="s">
        <v>67</v>
      </c>
      <c r="F23" s="5" t="s">
        <v>119</v>
      </c>
      <c r="G23" s="4" t="n">
        <v>5800</v>
      </c>
      <c r="H23" s="5" t="s">
        <v>41</v>
      </c>
      <c r="I23" s="5" t="s">
        <v>46</v>
      </c>
      <c r="J23" s="5"/>
      <c r="K23" s="5"/>
      <c r="L23" s="5"/>
    </row>
    <row r="24" customFormat="false" ht="15" hidden="false" customHeight="false" outlineLevel="0" collapsed="false">
      <c r="A24" s="6" t="s">
        <v>120</v>
      </c>
      <c r="B24" s="6" t="s">
        <v>121</v>
      </c>
      <c r="C24" s="6" t="s">
        <v>112</v>
      </c>
      <c r="D24" s="6" t="s">
        <v>38</v>
      </c>
      <c r="E24" s="6" t="s">
        <v>39</v>
      </c>
      <c r="F24" s="6" t="s">
        <v>122</v>
      </c>
      <c r="G24" s="7" t="n">
        <v>23500</v>
      </c>
      <c r="H24" s="6" t="s">
        <v>41</v>
      </c>
      <c r="I24" s="6" t="s">
        <v>42</v>
      </c>
      <c r="J24" s="6"/>
      <c r="K24" s="6"/>
      <c r="L24" s="6"/>
    </row>
    <row r="25" customFormat="false" ht="15" hidden="false" customHeight="false" outlineLevel="0" collapsed="false">
      <c r="A25" s="5" t="s">
        <v>123</v>
      </c>
      <c r="B25" s="5" t="s">
        <v>124</v>
      </c>
      <c r="C25" s="5" t="s">
        <v>112</v>
      </c>
      <c r="D25" s="5" t="s">
        <v>58</v>
      </c>
      <c r="E25" s="5" t="s">
        <v>59</v>
      </c>
      <c r="F25" s="5" t="s">
        <v>125</v>
      </c>
      <c r="G25" s="4" t="n">
        <v>130000</v>
      </c>
      <c r="H25" s="5" t="s">
        <v>41</v>
      </c>
      <c r="I25" s="5" t="s">
        <v>42</v>
      </c>
      <c r="J25" s="5"/>
      <c r="K25" s="5"/>
      <c r="L25" s="5"/>
    </row>
    <row r="26" customFormat="false" ht="15" hidden="false" customHeight="false" outlineLevel="0" collapsed="false">
      <c r="A26" s="8" t="s">
        <v>126</v>
      </c>
      <c r="B26" s="8"/>
      <c r="C26" s="8"/>
      <c r="D26" s="8" t="s">
        <v>127</v>
      </c>
      <c r="E26" s="8"/>
      <c r="F26" s="8"/>
      <c r="G26" s="9" t="n">
        <f aca="false">SUMIFS(G2:G25,D2:D25,"Доход",H2:H25,"Общий котел")-SUMIFS(G2:G25,D2:D25,"Расход",H2:H25,"Общий котел")</f>
        <v>201200</v>
      </c>
      <c r="H26" s="8"/>
      <c r="I26" s="8"/>
      <c r="J26" s="8"/>
      <c r="K26" s="8"/>
      <c r="L26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3" min="2" style="0" width="20"/>
    <col collapsed="false" customWidth="true" hidden="false" outlineLevel="0" max="4" min="4" style="0" width="30"/>
    <col collapsed="false" customWidth="true" hidden="false" outlineLevel="0" max="5" min="5" style="0" width="24"/>
    <col collapsed="false" customWidth="true" hidden="false" outlineLevel="0" max="6" min="6" style="0" width="20"/>
    <col collapsed="false" customWidth="true" hidden="false" outlineLevel="0" max="7" min="7" style="0" width="21"/>
    <col collapsed="false" customWidth="true" hidden="false" outlineLevel="0" max="8" min="8" style="0" width="20"/>
    <col collapsed="false" customWidth="true" hidden="false" outlineLevel="0" max="9" min="9" style="0" width="21"/>
    <col collapsed="false" customWidth="true" hidden="false" outlineLevel="0" max="10" min="10" style="0" width="14"/>
  </cols>
  <sheetData>
    <row r="1" customFormat="false" ht="15" hidden="false" customHeight="false" outlineLevel="0" collapsed="false">
      <c r="A1" s="1" t="s">
        <v>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customFormat="false" ht="15" hidden="false" customHeight="false" outlineLevel="0" collapsed="false">
      <c r="A2" s="5" t="s">
        <v>67</v>
      </c>
      <c r="B2" s="5" t="s">
        <v>137</v>
      </c>
      <c r="C2" s="4" t="n">
        <v>5900</v>
      </c>
      <c r="D2" s="4" t="n">
        <v>5850</v>
      </c>
      <c r="E2" s="4" t="n">
        <v>51200</v>
      </c>
      <c r="F2" s="4" t="n">
        <f aca="false">MAX(D2,E2)</f>
        <v>51200</v>
      </c>
      <c r="G2" s="4" t="n">
        <f aca="false">F2</f>
        <v>51200</v>
      </c>
      <c r="H2" s="4" t="n">
        <v>6200</v>
      </c>
      <c r="I2" s="4" t="n">
        <f aca="false">G2-H2</f>
        <v>45000</v>
      </c>
      <c r="J2" s="5" t="str">
        <f aca="false">IF(H2&gt;G2,"Превышение","В рамках плана")</f>
        <v>В рамках плана</v>
      </c>
    </row>
    <row r="3" customFormat="false" ht="15" hidden="false" customHeight="false" outlineLevel="0" collapsed="false">
      <c r="A3" s="5" t="s">
        <v>39</v>
      </c>
      <c r="B3" s="5" t="s">
        <v>137</v>
      </c>
      <c r="C3" s="4" t="n">
        <v>21500</v>
      </c>
      <c r="D3" s="4" t="n">
        <v>22500</v>
      </c>
      <c r="E3" s="4" t="n">
        <v>0</v>
      </c>
      <c r="F3" s="4" t="n">
        <f aca="false">MAX(D3,E3)</f>
        <v>22500</v>
      </c>
      <c r="G3" s="4" t="n">
        <f aca="false">F3</f>
        <v>22500</v>
      </c>
      <c r="H3" s="4" t="n">
        <v>25700</v>
      </c>
      <c r="I3" s="4" t="n">
        <f aca="false">G3-H3</f>
        <v>-3200</v>
      </c>
      <c r="J3" s="5" t="str">
        <f aca="false">IF(H3&gt;G3,"Превышение","В рамках плана")</f>
        <v>Превышение</v>
      </c>
    </row>
    <row r="4" customFormat="false" ht="15" hidden="false" customHeight="false" outlineLevel="0" collapsed="false">
      <c r="A4" s="5" t="s">
        <v>138</v>
      </c>
      <c r="B4" s="5" t="s">
        <v>137</v>
      </c>
      <c r="C4" s="4" t="n">
        <v>0</v>
      </c>
      <c r="D4" s="4" t="n">
        <v>0</v>
      </c>
      <c r="E4" s="4" t="n">
        <v>12000</v>
      </c>
      <c r="F4" s="4" t="n">
        <f aca="false">MAX(D4,E4)</f>
        <v>12000</v>
      </c>
      <c r="G4" s="4" t="n">
        <f aca="false">F4</f>
        <v>12000</v>
      </c>
      <c r="H4" s="4" t="n">
        <v>0</v>
      </c>
      <c r="I4" s="4" t="n">
        <f aca="false">G4-H4</f>
        <v>12000</v>
      </c>
      <c r="J4" s="5" t="str">
        <f aca="false">IF(H4&gt;G4,"Превышение","В рамках плана")</f>
        <v>В рамках плана</v>
      </c>
    </row>
    <row r="5" customFormat="false" ht="15" hidden="false" customHeight="false" outlineLevel="0" collapsed="false">
      <c r="A5" s="5" t="s">
        <v>87</v>
      </c>
      <c r="B5" s="5" t="s">
        <v>137</v>
      </c>
      <c r="C5" s="4" t="n">
        <v>5200</v>
      </c>
      <c r="D5" s="4" t="n">
        <v>5000</v>
      </c>
      <c r="E5" s="4" t="n">
        <v>0</v>
      </c>
      <c r="F5" s="4" t="n">
        <f aca="false">MAX(D5,E5)</f>
        <v>5000</v>
      </c>
      <c r="G5" s="4" t="n">
        <f aca="false">F5</f>
        <v>5000</v>
      </c>
      <c r="H5" s="4" t="n">
        <v>0</v>
      </c>
      <c r="I5" s="4" t="n">
        <f aca="false">G5-H5</f>
        <v>5000</v>
      </c>
      <c r="J5" s="5" t="str">
        <f aca="false">IF(H5&gt;G5,"Превышение","В рамках плана")</f>
        <v>В рамках плана</v>
      </c>
    </row>
    <row r="6" customFormat="false" ht="15" hidden="false" customHeight="false" outlineLevel="0" collapsed="false">
      <c r="A6" s="5" t="s">
        <v>44</v>
      </c>
      <c r="B6" s="5" t="s">
        <v>139</v>
      </c>
      <c r="C6" s="4" t="n">
        <v>3800</v>
      </c>
      <c r="D6" s="4" t="n">
        <v>4000</v>
      </c>
      <c r="E6" s="4" t="n">
        <v>0</v>
      </c>
      <c r="F6" s="4" t="n">
        <f aca="false">MAX(D6,E6)</f>
        <v>4000</v>
      </c>
      <c r="G6" s="4" t="n">
        <f aca="false">F6</f>
        <v>4000</v>
      </c>
      <c r="H6" s="4" t="n">
        <v>2200</v>
      </c>
      <c r="I6" s="4" t="n">
        <f aca="false">G6-H6</f>
        <v>1800</v>
      </c>
      <c r="J6" s="5" t="str">
        <f aca="false">IF(H6&gt;G6,"Превышение","В рамках плана")</f>
        <v>В рамках плана</v>
      </c>
    </row>
    <row r="7" customFormat="false" ht="15" hidden="false" customHeight="false" outlineLevel="0" collapsed="false">
      <c r="A7" s="5" t="s">
        <v>140</v>
      </c>
      <c r="B7" s="5" t="s">
        <v>137</v>
      </c>
      <c r="C7" s="4" t="n">
        <v>0</v>
      </c>
      <c r="D7" s="4" t="n">
        <v>0</v>
      </c>
      <c r="E7" s="4" t="n">
        <v>2350</v>
      </c>
      <c r="F7" s="4" t="n">
        <f aca="false">MAX(D7,E7)</f>
        <v>2350</v>
      </c>
      <c r="G7" s="4" t="n">
        <f aca="false">F7</f>
        <v>2350</v>
      </c>
      <c r="H7" s="4" t="n">
        <v>0</v>
      </c>
      <c r="I7" s="4" t="n">
        <f aca="false">G7-H7</f>
        <v>2350</v>
      </c>
      <c r="J7" s="5" t="str">
        <f aca="false">IF(H7&gt;G7,"Превышение","В рамках плана")</f>
        <v>В рамках плана</v>
      </c>
    </row>
    <row r="8" customFormat="false" ht="15" hidden="false" customHeight="false" outlineLevel="0" collapsed="false">
      <c r="A8" s="5" t="s">
        <v>54</v>
      </c>
      <c r="B8" s="5" t="s">
        <v>139</v>
      </c>
      <c r="C8" s="4" t="n">
        <v>0</v>
      </c>
      <c r="D8" s="4" t="n">
        <v>0</v>
      </c>
      <c r="E8" s="4" t="n">
        <v>0</v>
      </c>
      <c r="F8" s="4" t="n">
        <v>4000</v>
      </c>
      <c r="G8" s="4" t="n">
        <v>4000</v>
      </c>
      <c r="H8" s="4" t="n">
        <v>4100</v>
      </c>
      <c r="I8" s="4" t="n">
        <f aca="false">G8-H8</f>
        <v>-100</v>
      </c>
      <c r="J8" s="5" t="str">
        <f aca="false">IF(H8&gt;G8,"Превышение","В рамках плана")</f>
        <v>Превышение</v>
      </c>
    </row>
    <row r="9" customFormat="false" ht="15" hidden="false" customHeight="false" outlineLevel="0" collapsed="false">
      <c r="A9" s="5" t="s">
        <v>49</v>
      </c>
      <c r="B9" s="5" t="s">
        <v>139</v>
      </c>
      <c r="C9" s="4" t="n">
        <v>0</v>
      </c>
      <c r="D9" s="4" t="n">
        <v>0</v>
      </c>
      <c r="E9" s="4" t="n">
        <v>0</v>
      </c>
      <c r="F9" s="4" t="n">
        <v>3500</v>
      </c>
      <c r="G9" s="4" t="n">
        <v>3500</v>
      </c>
      <c r="H9" s="4" t="n">
        <v>3200</v>
      </c>
      <c r="I9" s="4" t="n">
        <f aca="false">G9-H9</f>
        <v>300</v>
      </c>
      <c r="J9" s="5" t="str">
        <f aca="false">IF(H9&gt;G9,"Превышение","В рамках плана")</f>
        <v>В рамках плана</v>
      </c>
    </row>
    <row r="10" customFormat="false" ht="15" hidden="false" customHeight="false" outlineLevel="0" collapsed="false">
      <c r="A10" s="8" t="s">
        <v>141</v>
      </c>
      <c r="B10" s="8"/>
      <c r="C10" s="9" t="n">
        <f aca="false">SUM(C2:C9)</f>
        <v>36400</v>
      </c>
      <c r="D10" s="9" t="n">
        <f aca="false">SUM(D2:D9)</f>
        <v>37350</v>
      </c>
      <c r="E10" s="9" t="n">
        <f aca="false">SUM(E2:E9)</f>
        <v>65550</v>
      </c>
      <c r="F10" s="9" t="n">
        <f aca="false">SUM(F2:F9)</f>
        <v>104550</v>
      </c>
      <c r="G10" s="9" t="n">
        <f aca="false">SUM(G2:G9)</f>
        <v>104550</v>
      </c>
      <c r="H10" s="9" t="n">
        <f aca="false">SUM(H2:H9)</f>
        <v>41400</v>
      </c>
      <c r="I10" s="9" t="n">
        <f aca="false">SUM(I2:I9)</f>
        <v>63150</v>
      </c>
      <c r="J10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23</v>
      </c>
      <c r="B1" s="1" t="s">
        <v>142</v>
      </c>
      <c r="C1" s="1" t="s">
        <v>143</v>
      </c>
      <c r="D1" s="1" t="s">
        <v>144</v>
      </c>
      <c r="E1" s="1" t="s">
        <v>27</v>
      </c>
      <c r="F1" s="1" t="s">
        <v>30</v>
      </c>
      <c r="G1" s="1" t="s">
        <v>145</v>
      </c>
      <c r="H1" s="1" t="s">
        <v>146</v>
      </c>
      <c r="I1" s="1" t="s">
        <v>147</v>
      </c>
    </row>
    <row r="2" customFormat="false" ht="15" hidden="false" customHeight="false" outlineLevel="0" collapsed="false">
      <c r="A2" s="5" t="s">
        <v>148</v>
      </c>
      <c r="B2" s="5" t="s">
        <v>149</v>
      </c>
      <c r="C2" s="10" t="n">
        <v>45000</v>
      </c>
      <c r="D2" s="5" t="n">
        <v>5</v>
      </c>
      <c r="E2" s="5" t="s">
        <v>67</v>
      </c>
      <c r="F2" s="5" t="s">
        <v>41</v>
      </c>
      <c r="G2" s="5" t="s">
        <v>42</v>
      </c>
      <c r="H2" s="5" t="s">
        <v>150</v>
      </c>
      <c r="I2" s="11" t="s">
        <v>151</v>
      </c>
    </row>
    <row r="3" customFormat="false" ht="15" hidden="false" customHeight="false" outlineLevel="0" collapsed="false">
      <c r="A3" s="5" t="s">
        <v>69</v>
      </c>
      <c r="B3" s="5" t="s">
        <v>152</v>
      </c>
      <c r="C3" s="10" t="n">
        <v>6200</v>
      </c>
      <c r="D3" s="5" t="n">
        <v>15</v>
      </c>
      <c r="E3" s="5" t="s">
        <v>67</v>
      </c>
      <c r="F3" s="5" t="s">
        <v>41</v>
      </c>
      <c r="G3" s="5" t="s">
        <v>46</v>
      </c>
      <c r="H3" s="5" t="s">
        <v>150</v>
      </c>
      <c r="I3" s="11" t="s">
        <v>151</v>
      </c>
    </row>
    <row r="4" customFormat="false" ht="15" hidden="false" customHeight="false" outlineLevel="0" collapsed="false">
      <c r="A4" s="5" t="s">
        <v>153</v>
      </c>
      <c r="B4" s="5" t="s">
        <v>154</v>
      </c>
      <c r="C4" s="10" t="n">
        <v>950</v>
      </c>
      <c r="D4" s="5" t="n">
        <v>25</v>
      </c>
      <c r="E4" s="5" t="s">
        <v>140</v>
      </c>
      <c r="F4" s="5" t="s">
        <v>41</v>
      </c>
      <c r="G4" s="5" t="s">
        <v>42</v>
      </c>
      <c r="H4" s="5" t="s">
        <v>150</v>
      </c>
      <c r="I4" s="12" t="s">
        <v>155</v>
      </c>
    </row>
    <row r="5" customFormat="false" ht="15" hidden="false" customHeight="false" outlineLevel="0" collapsed="false">
      <c r="A5" s="5" t="s">
        <v>156</v>
      </c>
      <c r="B5" s="5" t="s">
        <v>157</v>
      </c>
      <c r="C5" s="10" t="n">
        <v>1400</v>
      </c>
      <c r="D5" s="5" t="n">
        <v>27</v>
      </c>
      <c r="E5" s="5" t="s">
        <v>140</v>
      </c>
      <c r="F5" s="5" t="s">
        <v>41</v>
      </c>
      <c r="G5" s="5" t="s">
        <v>46</v>
      </c>
      <c r="H5" s="5" t="s">
        <v>150</v>
      </c>
      <c r="I5" s="12" t="s">
        <v>155</v>
      </c>
    </row>
    <row r="6" customFormat="false" ht="15" hidden="false" customHeight="false" outlineLevel="0" collapsed="false">
      <c r="A6" s="5" t="s">
        <v>158</v>
      </c>
      <c r="B6" s="5" t="s">
        <v>159</v>
      </c>
      <c r="C6" s="10" t="n">
        <v>12000</v>
      </c>
      <c r="D6" s="5" t="n">
        <v>28</v>
      </c>
      <c r="E6" s="5" t="s">
        <v>138</v>
      </c>
      <c r="F6" s="5" t="s">
        <v>41</v>
      </c>
      <c r="G6" s="5" t="s">
        <v>46</v>
      </c>
      <c r="H6" s="5" t="s">
        <v>150</v>
      </c>
      <c r="I6" s="12" t="s">
        <v>155</v>
      </c>
    </row>
    <row r="7" customFormat="false" ht="15" hidden="false" customHeight="false" outlineLevel="0" collapsed="false">
      <c r="A7" s="8"/>
      <c r="B7" s="8" t="s">
        <v>160</v>
      </c>
      <c r="C7" s="9" t="n">
        <f aca="false">SUM(C2:C6)</f>
        <v>65550</v>
      </c>
      <c r="D7" s="8"/>
      <c r="E7" s="8"/>
      <c r="F7" s="8"/>
      <c r="G7" s="8"/>
      <c r="H7" s="8"/>
      <c r="I7" s="8"/>
    </row>
    <row r="8" customFormat="false" ht="15" hidden="false" customHeight="false" outlineLevel="0" collapsed="false">
      <c r="A8" s="8"/>
      <c r="B8" s="8" t="s">
        <v>161</v>
      </c>
      <c r="C8" s="9" t="n">
        <f aca="false">SUMIFS(C2:C6,I2:I6,"Ожидает оплаты")+15000</f>
        <v>29350</v>
      </c>
      <c r="D8" s="8"/>
      <c r="E8" s="8"/>
      <c r="F8" s="8"/>
      <c r="G8" s="8"/>
      <c r="H8" s="8"/>
      <c r="I8" s="8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5"/>
    <col collapsed="false" customWidth="true" hidden="false" outlineLevel="0" max="5" min="5" style="0" width="30"/>
    <col collapsed="false" customWidth="true" hidden="false" outlineLevel="0" max="6" min="6" style="0" width="26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1" t="s">
        <v>26</v>
      </c>
      <c r="B1" s="1" t="s">
        <v>23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 customFormat="false" ht="15" hidden="false" customHeight="false" outlineLevel="0" collapsed="false">
      <c r="A2" s="5" t="s">
        <v>169</v>
      </c>
      <c r="B2" s="5" t="s">
        <v>78</v>
      </c>
      <c r="C2" s="5" t="s">
        <v>170</v>
      </c>
      <c r="D2" s="10" t="n">
        <v>85000</v>
      </c>
      <c r="E2" s="10" t="n">
        <v>200000</v>
      </c>
      <c r="F2" s="10" t="n">
        <v>0</v>
      </c>
      <c r="G2" s="5"/>
      <c r="H2" s="13" t="n">
        <f aca="false">D2/E2</f>
        <v>0.425</v>
      </c>
    </row>
    <row r="3" customFormat="false" ht="15" hidden="false" customHeight="false" outlineLevel="0" collapsed="false">
      <c r="A3" s="5" t="s">
        <v>169</v>
      </c>
      <c r="B3" s="5" t="s">
        <v>171</v>
      </c>
      <c r="C3" s="5" t="s">
        <v>172</v>
      </c>
      <c r="D3" s="10" t="n">
        <v>310000</v>
      </c>
      <c r="E3" s="10" t="n">
        <v>450000</v>
      </c>
      <c r="F3" s="10" t="n">
        <v>0</v>
      </c>
      <c r="G3" s="5"/>
      <c r="H3" s="13" t="n">
        <f aca="false">D3/E3</f>
        <v>0.688888888888889</v>
      </c>
    </row>
    <row r="4" customFormat="false" ht="15" hidden="false" customHeight="false" outlineLevel="0" collapsed="false">
      <c r="A4" s="5" t="s">
        <v>169</v>
      </c>
      <c r="B4" s="5" t="s">
        <v>173</v>
      </c>
      <c r="C4" s="5" t="s">
        <v>174</v>
      </c>
      <c r="D4" s="10" t="n">
        <v>65000</v>
      </c>
      <c r="E4" s="10" t="n">
        <v>120000</v>
      </c>
      <c r="F4" s="10" t="n">
        <v>0</v>
      </c>
      <c r="G4" s="5"/>
      <c r="H4" s="13" t="n">
        <f aca="false">D4/E4</f>
        <v>0.541666666666667</v>
      </c>
    </row>
    <row r="5" customFormat="false" ht="15" hidden="false" customHeight="false" outlineLevel="0" collapsed="false">
      <c r="A5" s="8" t="s">
        <v>175</v>
      </c>
      <c r="B5" s="8"/>
      <c r="C5" s="8" t="s">
        <v>176</v>
      </c>
      <c r="D5" s="9" t="n">
        <f aca="false">SUM(D2:D4)</f>
        <v>460000</v>
      </c>
      <c r="E5" s="9" t="n">
        <f aca="false">SUM(E2:E4)</f>
        <v>770000</v>
      </c>
      <c r="F5" s="9" t="n">
        <v>0</v>
      </c>
      <c r="G5" s="8"/>
      <c r="H5" s="14" t="n">
        <f aca="false">D5/E5</f>
        <v>0.597402597402597</v>
      </c>
    </row>
    <row r="6" customFormat="false" ht="15" hidden="false" customHeight="false" outlineLevel="0" collapsed="false">
      <c r="A6" s="5" t="s">
        <v>177</v>
      </c>
      <c r="B6" s="5" t="s">
        <v>83</v>
      </c>
      <c r="C6" s="5" t="s">
        <v>178</v>
      </c>
      <c r="D6" s="10" t="n">
        <v>240000</v>
      </c>
      <c r="E6" s="10" t="n">
        <v>600000</v>
      </c>
      <c r="F6" s="10" t="n">
        <v>20000</v>
      </c>
      <c r="G6" s="5" t="n">
        <v>12</v>
      </c>
      <c r="H6" s="13" t="n">
        <f aca="false">(E6-D6)/E6</f>
        <v>0.6</v>
      </c>
    </row>
    <row r="7" customFormat="false" ht="15" hidden="false" customHeight="false" outlineLevel="0" collapsed="false">
      <c r="A7" s="5" t="s">
        <v>177</v>
      </c>
      <c r="B7" s="5" t="s">
        <v>179</v>
      </c>
      <c r="C7" s="5" t="s">
        <v>180</v>
      </c>
      <c r="D7" s="10" t="n">
        <v>30000</v>
      </c>
      <c r="E7" s="10" t="n">
        <v>90000</v>
      </c>
      <c r="F7" s="10" t="n">
        <v>15000</v>
      </c>
      <c r="G7" s="5" t="n">
        <v>26</v>
      </c>
      <c r="H7" s="13" t="n">
        <f aca="false">(E7-D7)/E7</f>
        <v>0.666666666666667</v>
      </c>
    </row>
    <row r="8" customFormat="false" ht="15" hidden="false" customHeight="false" outlineLevel="0" collapsed="false">
      <c r="A8" s="8" t="s">
        <v>181</v>
      </c>
      <c r="B8" s="8"/>
      <c r="C8" s="8" t="s">
        <v>182</v>
      </c>
      <c r="D8" s="9" t="n">
        <f aca="false">SUM(D6:D7)</f>
        <v>270000</v>
      </c>
      <c r="E8" s="9" t="n">
        <f aca="false">SUM(E6:E7)</f>
        <v>690000</v>
      </c>
      <c r="F8" s="9" t="n">
        <f aca="false">SUM(F6:F7)</f>
        <v>35000</v>
      </c>
      <c r="G8" s="8"/>
      <c r="H8" s="14" t="n">
        <f aca="false">(E8-D8)/E8</f>
        <v>0.608695652173913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2026-10-26T07:39:03Z</dcterms:created>
  <dc:creator>openpyxl</dc:creator>
  <dc:description/>
  <dc:language>en-US</dc:language>
  <cp:lastModifiedBy/>
  <dcterms:modified xsi:type="dcterms:W3CDTF">2026-10-26T07:39:03Z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